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1f77198b6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9c3259ee0794bfd"/>
    <x:sheet xmlns:r="http://schemas.openxmlformats.org/officeDocument/2006/relationships" name="Free vs Pro" sheetId="2" r:id="R0d5b97a77fb8492d"/>
    <x:sheet xmlns:r="http://schemas.openxmlformats.org/officeDocument/2006/relationships" name="Unit Economics" sheetId="3" r:id="Rfd96a6b56d204d52"/>
    <x:sheet xmlns:r="http://schemas.openxmlformats.org/officeDocument/2006/relationships" name="Scenario Analysis" sheetId="4" r:id="Rb5e9c5e53c3e4b85"/>
    <x:sheet xmlns:r="http://schemas.openxmlformats.org/officeDocument/2006/relationships" name="Growth Loop" sheetId="5" r:id="R897acd59646f456a"/>
    <x:sheet xmlns:r="http://schemas.openxmlformats.org/officeDocument/2006/relationships" name="Sources" sheetId="6" r:id="R7886425275a0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₹#,##0"/>
    <x:numFmt numFmtId="201" formatCode="0.0"/>
    <x:numFmt numFmtId="202" formatCode="0.0x"/>
    <x:numFmt numFmtId="203" formatCode="0%"/>
    <x:numFmt numFmtId="204" formatCode="#,##0"/>
    <x:numFmt numFmtId="205" formatCode="₹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7a0fc939bd4a52" /><Relationship Type="http://schemas.openxmlformats.org/officeDocument/2006/relationships/theme" Target="/xl/theme/theme1.xml" Id="Rd23aaabbc0a6484d" /><Relationship Type="http://schemas.openxmlformats.org/officeDocument/2006/relationships/sharedStrings" Target="/xl/sharedStrings.xml" Id="Rc7594474cf844be7" /><Relationship Type="http://schemas.openxmlformats.org/officeDocument/2006/relationships/worksheet" Target="/xl/worksheets/sheet1.xml" Id="R49c3259ee0794bfd" /><Relationship Type="http://schemas.openxmlformats.org/officeDocument/2006/relationships/worksheet" Target="/xl/worksheets/sheet2.xml" Id="R0d5b97a77fb8492d" /><Relationship Type="http://schemas.openxmlformats.org/officeDocument/2006/relationships/worksheet" Target="/xl/worksheets/sheet3.xml" Id="Rfd96a6b56d204d52" /><Relationship Type="http://schemas.openxmlformats.org/officeDocument/2006/relationships/worksheet" Target="/xl/worksheets/sheet4.xml" Id="Rb5e9c5e53c3e4b85" /><Relationship Type="http://schemas.openxmlformats.org/officeDocument/2006/relationships/worksheet" Target="/xl/worksheets/sheet5.xml" Id="R897acd59646f456a" /><Relationship Type="http://schemas.openxmlformats.org/officeDocument/2006/relationships/worksheet" Target="/xl/worksheets/sheet6.xml" Id="R7886425275a044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5b08034f91422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5b08034f9142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ingTierTable" displayName="PricingTierTable" ref="A3:F14" headerRowCount="1">
  <x:tableColumns count="6">
    <x:tableColumn id="1" name="Feature / Capability"/>
    <x:tableColumn id="2" name="Free"/>
    <x:tableColumn id="3" name="Pro"/>
    <x:tableColumn id="4" name="Rationale"/>
    <x:tableColumn id="5" name="Upgrade Trigger"/>
    <x:tableColumn id="6" name="Risk if Paid Too Earl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5c253b5804d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1d9a390ab4b435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24" hidden="0" customWidth="1"/>
    <x:col min="4" max="4" width="24" hidden="0" customWidth="1"/>
  </x:cols>
  <x:sheetData>
    <x:row r="1" ht="18" hidden="0" customHeight="1">
      <x:c r="A1" s="38" t="str">
        <x:v>PixelPay Week 9 - Growth Model + Pro Tier Pricing</x:v>
      </x:c>
      <x:c r="B1" s="39" t="str"/>
      <x:c r="C1" s="39" t="str"/>
      <x:c r="D1" s="39" t="str"/>
      <x:c r="E1" s="39" t="str"/>
      <x:c r="F1" s="39" t="str"/>
      <x:c r="G1" s="39" t="str"/>
      <x:c r="H1" s="39" t="str"/>
      <x:c r="I1" s="39"/>
      <x:c r="J1" s="39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0" t="str">
        <x:v>Recommendation</x:v>
      </x:c>
      <x:c r="B3" s="39" t="str">
        <x:v>Launch PixelPay Pro at Rs 199/month, with Rs 1,999/year annual plan</x:v>
      </x:c>
      <x:c r="C3" s="39"/>
      <x:c r="D3" s="39"/>
      <x:c r="E3" s="39"/>
      <x:c r="F3" s="39"/>
      <x:c r="G3" s="39"/>
      <x:c r="H3" s="39"/>
      <x:c r="I3" s="39"/>
      <x:c r="J3" s="39"/>
    </x:row>
    <x:row r="4" ht="15" hidden="0" customHeight="1">
      <x:c r="A4" s="40" t="str">
        <x:v>Competitive anchor</x:v>
      </x:c>
      <x:c r="B4" s="39" t="str">
        <x:v>Khatabook = free baseline; Vyapar anchor = Rs 199/month from assignment brief</x:v>
      </x:c>
      <x:c r="C4" s="39"/>
      <x:c r="D4" s="39"/>
      <x:c r="E4" s="39"/>
      <x:c r="F4" s="39"/>
      <x:c r="G4" s="39"/>
      <x:c r="H4" s="39"/>
      <x:c r="I4" s="39"/>
      <x:c r="J4" s="39"/>
    </x:row>
    <x:row r="5" ht="15" hidden="0" customHeight="1">
      <x:c r="A5" s="40" t="str">
        <x:v>Free tier role</x:v>
      </x:c>
      <x:c r="B5" s="39" t="str">
        <x:v>Keep activation, trust, and daily habit features free</x:v>
      </x:c>
      <x:c r="C5" s="39"/>
      <x:c r="D5" s="39"/>
      <x:c r="E5" s="39"/>
      <x:c r="F5" s="39"/>
      <x:c r="G5" s="39"/>
      <x:c r="H5" s="39"/>
      <x:c r="I5" s="39"/>
      <x:c r="J5" s="39"/>
    </x:row>
    <x:row r="6" ht="15" hidden="0" customHeight="1">
      <x:c r="A6" s="40" t="str">
        <x:v>Pro tier role</x:v>
      </x:c>
      <x:c r="B6" s="39" t="str">
        <x:v>Monetize serious merchants needing analytics, GST exports, multi-user and priority support</x:v>
      </x:c>
      <x:c r="C6" s="39"/>
      <x:c r="D6" s="39"/>
      <x:c r="E6" s="39"/>
      <x:c r="F6" s="39"/>
      <x:c r="G6" s="39"/>
      <x:c r="H6" s="39"/>
      <x:c r="I6" s="39"/>
      <x:c r="J6" s="39"/>
    </x:row>
    <x:row r="7" ht="15" hidden="0" customHeight="1">
      <x:c r="A7" s="40" t="str">
        <x:v>Primary growth loop</x:v>
      </x:c>
      <x:c r="B7" s="39" t="str">
        <x:v>Free ritual usage -&gt; aha moment -&gt; Pro upgrade prompt -&gt; referral credit -&gt; new merchant signup</x:v>
      </x:c>
      <x:c r="C7" s="39"/>
      <x:c r="D7" s="39"/>
      <x:c r="E7" s="39"/>
      <x:c r="F7" s="39"/>
      <x:c r="G7" s="39"/>
      <x:c r="H7" s="39"/>
      <x:c r="I7" s="39"/>
      <x:c r="J7" s="39"/>
    </x:row>
    <x:row r="8" ht="15" hidden="0" customHeight="1">
      <x:c r="A8" s="40" t="str">
        <x:v>Launch approach</x:v>
      </x:c>
      <x:c r="B8" s="39" t="str">
        <x:v>Test with 2,000 eligible merchants across 2 city clusters before national rollout</x:v>
      </x:c>
      <x:c r="C8" s="39"/>
      <x:c r="D8" s="39"/>
      <x:c r="E8" s="39"/>
      <x:c r="F8" s="39"/>
      <x:c r="G8" s="39"/>
      <x:c r="H8" s="39"/>
      <x:c r="I8" s="39"/>
      <x:c r="J8" s="39"/>
    </x:row>
    <x:row r="9" ht="15" hidden="0" customHeight="1">
      <x:c r="A9" s="40" t="str">
        <x:v>CFO read</x:v>
      </x:c>
      <x:c r="B9" s="39" t="str">
        <x:v>Healthy if LTV:CAC &gt; 3x and CAC payback &lt; 12 months</x:v>
      </x:c>
      <x:c r="C9" s="39"/>
      <x:c r="D9" s="39"/>
      <x:c r="E9" s="39"/>
      <x:c r="F9" s="39"/>
      <x:c r="G9" s="39"/>
      <x:c r="H9" s="39"/>
      <x:c r="I9" s="39"/>
      <x:c r="J9" s="39"/>
    </x:row>
    <x:row r="10" ht="15" hidden="0" customHeight="1">
      <x:c r="A10" s="40" t="str">
        <x:v>Decision</x:v>
      </x:c>
      <x:c r="B10" s="39" t="str">
        <x:v>Proceed with controlled Pro experiment</x:v>
      </x:c>
      <x:c r="C10" s="39"/>
      <x:c r="D10" s="39"/>
      <x:c r="E10" s="39"/>
      <x:c r="F10" s="39"/>
      <x:c r="G10" s="39"/>
      <x:c r="H10" s="39"/>
      <x:c r="I10" s="39"/>
      <x:c r="J10" s="39"/>
    </x:row>
    <x:row r="11" ht="15" hidden="0" customHeight="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s="41" t="str">
        <x:v>Metric</x:v>
      </x:c>
      <x:c r="B12" s="41" t="str">
        <x:v>Formula</x:v>
      </x:c>
      <x:c r="C12" s="41" t="str">
        <x:v>Base Case</x:v>
      </x:c>
      <x:c r="D12" s="41" t="str">
        <x:v>CFO Check</x:v>
      </x:c>
      <x:c r="E12" s="39"/>
      <x:c r="F12" s="39"/>
      <x:c r="G12" s="39"/>
      <x:c r="H12" s="39"/>
      <x:c r="I12" s="39"/>
      <x:c r="J12" s="39"/>
    </x:row>
    <x:row r="13" ht="15" hidden="0" customHeight="1">
      <x:c r="A13" s="39" t="str">
        <x:v>Price</x:v>
      </x:c>
      <x:c r="B13" s="39" t="str">
        <x:v>Input</x:v>
      </x:c>
      <x:c r="C13" s="42" t="n">
        <x:v>199</x:v>
      </x:c>
      <x:c r="D13" s="39" t="str">
        <x:v>Aligned to small-merchant anchor</x:v>
      </x:c>
      <x:c r="E13" s="39"/>
      <x:c r="F13" s="39"/>
      <x:c r="G13" s="39"/>
      <x:c r="H13" s="39"/>
      <x:c r="I13" s="39"/>
      <x:c r="J13" s="39"/>
    </x:row>
    <x:row r="14" ht="15" hidden="0" customHeight="1">
      <x:c r="A14" s="39" t="str">
        <x:v>Net contribution/month</x:v>
      </x:c>
      <x:c r="B14" s="39" t="str">
        <x:v>Price x gross margin</x:v>
      </x:c>
      <x:c r="C14" s="42" t="n">
        <x:f>'Unit Economics'!B14</x:f>
        <x:v>149.25</x:v>
      </x:c>
      <x:c r="D14" s="39" t="str">
        <x:v>Must cover support + ops</x:v>
      </x:c>
      <x:c r="E14" s="39"/>
      <x:c r="F14" s="39"/>
      <x:c r="G14" s="39"/>
      <x:c r="H14" s="39"/>
      <x:c r="I14" s="39"/>
      <x:c r="J14" s="39"/>
    </x:row>
    <x:row r="15" ht="15" hidden="0" customHeight="1">
      <x:c r="A15" s="39" t="str">
        <x:v>CAC</x:v>
      </x:c>
      <x:c r="B15" s="39" t="str">
        <x:v>Input</x:v>
      </x:c>
      <x:c r="C15" s="42" t="n">
        <x:v>650</x:v>
      </x:c>
      <x:c r="D15" s="39" t="str">
        <x:v>Must be recoverable quickly</x:v>
      </x:c>
      <x:c r="E15" s="39"/>
      <x:c r="F15" s="39"/>
      <x:c r="G15" s="39"/>
      <x:c r="H15" s="39"/>
      <x:c r="I15" s="39"/>
      <x:c r="J15" s="39"/>
    </x:row>
    <x:row r="16" ht="15" hidden="0" customHeight="1">
      <x:c r="A16" s="39" t="str">
        <x:v>LTV</x:v>
      </x:c>
      <x:c r="B16" s="39" t="str">
        <x:v>Contribution / churn</x:v>
      </x:c>
      <x:c r="C16" s="42" t="n">
        <x:f>'Unit Economics'!B18</x:f>
        <x:v>3731.25</x:v>
      </x:c>
      <x:c r="D16" s="39" t="str">
        <x:v>Should be &gt;= 3x CAC</x:v>
      </x:c>
      <x:c r="E16" s="39"/>
      <x:c r="F16" s="39"/>
      <x:c r="G16" s="39"/>
      <x:c r="H16" s="39"/>
      <x:c r="I16" s="39"/>
      <x:c r="J16" s="39"/>
    </x:row>
    <x:row r="17" ht="15" hidden="0" customHeight="1">
      <x:c r="A17" s="39" t="str">
        <x:v>CAC payback</x:v>
      </x:c>
      <x:c r="B17" s="39" t="str">
        <x:v>CAC / contribution</x:v>
      </x:c>
      <x:c r="C17" s="43" t="n">
        <x:f>'Unit Economics'!B19</x:f>
        <x:v>4.355108877721943</x:v>
      </x:c>
      <x:c r="D17" s="39" t="str">
        <x:v>Target &lt; 12 months</x:v>
      </x:c>
      <x:c r="E17" s="39"/>
      <x:c r="F17" s="39"/>
      <x:c r="G17" s="39"/>
      <x:c r="H17" s="39"/>
      <x:c r="I17" s="39"/>
      <x:c r="J17" s="39"/>
    </x:row>
    <x:row r="18" ht="15" hidden="0" customHeight="1">
      <x:c r="A18" s="39" t="str">
        <x:v>LTV:CAC</x:v>
      </x:c>
      <x:c r="B18" s="39" t="str">
        <x:v>LTV / CAC</x:v>
      </x:c>
      <x:c r="C18" s="44" t="n">
        <x:f>'Unit Economics'!B20</x:f>
        <x:v>5.740384615384615</x:v>
      </x:c>
      <x:c r="D18" s="39" t="str">
        <x:v>Target &gt;= 3x</x:v>
      </x:c>
      <x:c r="E18" s="39"/>
      <x:c r="F18" s="39"/>
      <x:c r="G18" s="39"/>
      <x:c r="H18" s="39"/>
      <x:c r="I18" s="39"/>
      <x:c r="J18" s="39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 ht="15" hidden="0" customHeight="1">
      <x:c r="A20" s="41" t="str">
        <x:v>Interpretation</x:v>
      </x:c>
      <x:c r="B20" s="39" t="str"/>
      <x:c r="C20" s="39" t="str"/>
      <x:c r="D20" s="39" t="str"/>
      <x:c r="E20" s="39" t="str"/>
      <x:c r="F20" s="39" t="str"/>
      <x:c r="G20" s="39" t="str"/>
      <x:c r="H20" s="39" t="str"/>
      <x:c r="I20" s="39"/>
      <x:c r="J20" s="39"/>
    </x:row>
    <x:row r="21" ht="15" hidden="0" customHeight="1">
      <x:c r="A21" s="39" t="str">
        <x:v>At Rs 199/month and 75% gross margin, PixelPay Pro generates Rs 149.25 gross contribution per paid merchant per month.</x:v>
      </x:c>
      <x:c r="B21" s="39" t="str"/>
      <x:c r="C21" s="39" t="str"/>
      <x:c r="D21" s="39" t="str"/>
      <x:c r="E21" s="39" t="str"/>
      <x:c r="F21" s="39" t="str"/>
      <x:c r="G21" s="39" t="str"/>
      <x:c r="H21" s="39" t="str"/>
      <x:c r="I21" s="39"/>
      <x:c r="J21" s="39"/>
    </x:row>
    <x:row r="22" ht="15" hidden="0" customHeight="1">
      <x:c r="A22" s="39" t="str">
        <x:v>With 4% monthly churn, expected lifetime is 25 months and LTV is Rs 3,731.</x:v>
      </x:c>
      <x:c r="B22" s="39" t="str"/>
      <x:c r="C22" s="39" t="str"/>
      <x:c r="D22" s="39" t="str"/>
      <x:c r="E22" s="39" t="str"/>
      <x:c r="F22" s="39" t="str"/>
      <x:c r="G22" s="39" t="str"/>
      <x:c r="H22" s="39" t="str"/>
      <x:c r="I22" s="39"/>
      <x:c r="J22" s="39"/>
    </x:row>
    <x:row r="23" ht="15" hidden="0" customHeight="1">
      <x:c r="A23" s="39" t="str">
        <x:v>With CAC of Rs 650, CAC payback is 4.4 months and LTV:CAC is 5.7x, above the CFO health threshold of 3x.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/>
      <x:c r="J23" s="39"/>
    </x:row>
    <x:row r="24" ht="15" hidden="0" customHeight="1">
      <x:c r="A24" s="39" t="str">
        <x:v>Recommendation: launch as a controlled monetization test, not a forced migration of free users.</x:v>
      </x:c>
      <x:c r="B24" s="39" t="str"/>
      <x:c r="C24" s="39" t="str"/>
      <x:c r="D24" s="39" t="str"/>
      <x:c r="E24" s="39" t="str"/>
      <x:c r="F24" s="39" t="str"/>
      <x:c r="G24" s="39" t="str"/>
      <x:c r="H24" s="39" t="str"/>
      <x:c r="I24" s="39"/>
      <x:c r="J24" s="39"/>
    </x:row>
    <x:row r="25" ht="15" hidden="0" customHeight="1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 ht="15" hidden="0" customHeight="1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 ht="15" hidden="0" customHeight="1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 ht="15" hidden="0" customHeight="1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H1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18" hidden="0" customHeight="1">
      <x:c r="A1" s="38" t="str">
        <x:v>PixelPay Free vs Pro Packaging</x:v>
      </x:c>
      <x:c r="B1" s="39" t="str"/>
      <x:c r="C1" s="39" t="str"/>
      <x:c r="D1" s="39" t="str"/>
      <x:c r="E1" s="39" t="str"/>
      <x:c r="F1" s="39" t="str"/>
      <x:c r="G1" s="39"/>
      <x:c r="H1" s="39"/>
      <x:c r="I1" s="39"/>
      <x:c r="J1" s="39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1" t="str">
        <x:v>Feature / Capability</x:v>
      </x:c>
      <x:c r="B3" s="41" t="str">
        <x:v>Free</x:v>
      </x:c>
      <x:c r="C3" s="41" t="str">
        <x:v>Pro</x:v>
      </x:c>
      <x:c r="D3" s="41" t="str">
        <x:v>Rationale</x:v>
      </x:c>
      <x:c r="E3" s="41" t="str">
        <x:v>Upgrade Trigger</x:v>
      </x:c>
      <x:c r="F3" s="41" t="str">
        <x:v>Risk if Paid Too Early</x:v>
      </x:c>
      <x:c r="G3" s="39"/>
      <x:c r="H3" s="39"/>
      <x:c r="I3" s="39"/>
      <x:c r="J3" s="39"/>
    </x:row>
    <x:row r="4" ht="15" hidden="0" customHeight="1">
      <x:c r="A4" s="39" t="str">
        <x:v>Accept UPI/payment collections</x:v>
      </x:c>
      <x:c r="B4" s="39" t="str">
        <x:v>Yes</x:v>
      </x:c>
      <x:c r="C4" s="39" t="str">
        <x:v>Yes</x:v>
      </x:c>
      <x:c r="D4" s="39" t="str">
        <x:v>Core utility; must stay free to preserve acquisition</x:v>
      </x:c>
      <x:c r="E4" s="39" t="str">
        <x:v>Never</x:v>
      </x:c>
      <x:c r="F4" s="39" t="str">
        <x:v>Kills activation</x:v>
      </x:c>
      <x:c r="G4" s="39"/>
      <x:c r="H4" s="39"/>
      <x:c r="I4" s="39"/>
      <x:c r="J4" s="39"/>
    </x:row>
    <x:row r="5" ht="15" hidden="0" customHeight="1">
      <x:c r="A5" s="39" t="str">
        <x:v>Day-End Summary</x:v>
      </x:c>
      <x:c r="B5" s="39" t="str">
        <x:v>Yes</x:v>
      </x:c>
      <x:c r="C5" s="39" t="str">
        <x:v>Yes</x:v>
      </x:c>
      <x:c r="D5" s="39" t="str">
        <x:v>Ritual and retention driver from Week 8 launch</x:v>
      </x:c>
      <x:c r="E5" s="39" t="str">
        <x:v>Never</x:v>
      </x:c>
      <x:c r="F5" s="39" t="str">
        <x:v>Weakens habit loop</x:v>
      </x:c>
      <x:c r="G5" s="39"/>
      <x:c r="H5" s="39"/>
      <x:c r="I5" s="39"/>
      <x:c r="J5" s="39"/>
    </x:row>
    <x:row r="6" ht="15" hidden="0" customHeight="1">
      <x:c r="A6" s="39" t="str">
        <x:v>Basic settlement view</x:v>
      </x:c>
      <x:c r="B6" s="39" t="str">
        <x:v>Yes</x:v>
      </x:c>
      <x:c r="C6" s="39" t="str">
        <x:v>Yes</x:v>
      </x:c>
      <x:c r="D6" s="39" t="str">
        <x:v>Trust feature; merchants need confidence in money movement</x:v>
      </x:c>
      <x:c r="E6" s="39" t="str">
        <x:v>Never</x:v>
      </x:c>
      <x:c r="F6" s="39" t="str">
        <x:v>Trust loss</x:v>
      </x:c>
      <x:c r="G6" s="39"/>
      <x:c r="H6" s="39"/>
      <x:c r="I6" s="39"/>
      <x:c r="J6" s="39"/>
    </x:row>
    <x:row r="7" ht="15" hidden="0" customHeight="1">
      <x:c r="A7" s="39" t="str">
        <x:v>Hindi/English + regional copy</x:v>
      </x:c>
      <x:c r="B7" s="39" t="str">
        <x:v>Yes</x:v>
      </x:c>
      <x:c r="C7" s="39" t="str">
        <x:v>Yes</x:v>
      </x:c>
      <x:c r="D7" s="39" t="str">
        <x:v>Accessibility and adoption baseline</x:v>
      </x:c>
      <x:c r="E7" s="39" t="str">
        <x:v>Never</x:v>
      </x:c>
      <x:c r="F7" s="39" t="str">
        <x:v>Excludes core merchants</x:v>
      </x:c>
      <x:c r="G7" s="39"/>
      <x:c r="H7" s="39"/>
      <x:c r="I7" s="39"/>
      <x:c r="J7" s="39"/>
    </x:row>
    <x:row r="8" ht="15" hidden="0" customHeight="1">
      <x:c r="A8" s="39" t="str">
        <x:v>30-day transaction history</x:v>
      </x:c>
      <x:c r="B8" s="39" t="str">
        <x:v>Yes</x:v>
      </x:c>
      <x:c r="C8" s="39" t="str">
        <x:v>Yes</x:v>
      </x:c>
      <x:c r="D8" s="39" t="str">
        <x:v>Enough for casual SMBs</x:v>
      </x:c>
      <x:c r="E8" s="39" t="str">
        <x:v>When merchant needs 90-day trends</x:v>
      </x:c>
      <x:c r="F8" s="39" t="str">
        <x:v>Low</x:v>
      </x:c>
      <x:c r="G8" s="39"/>
      <x:c r="H8" s="39"/>
      <x:c r="I8" s="39"/>
      <x:c r="J8" s="39"/>
    </x:row>
    <x:row r="9" ht="15" hidden="0" customHeight="1">
      <x:c r="A9" s="39" t="str">
        <x:v>90-day advanced analytics</x:v>
      </x:c>
      <x:c r="B9" s="39" t="str">
        <x:v>No</x:v>
      </x:c>
      <x:c r="C9" s="39" t="str">
        <x:v>Yes</x:v>
      </x:c>
      <x:c r="D9" s="39" t="str">
        <x:v>Serious merchants pay for trends, comparisons, category insights</x:v>
      </x:c>
      <x:c r="E9" s="39" t="str">
        <x:v>Views reports 3+ times</x:v>
      </x:c>
      <x:c r="F9" s="39" t="str">
        <x:v>None</x:v>
      </x:c>
      <x:c r="G9" s="39"/>
      <x:c r="H9" s="39"/>
      <x:c r="I9" s="39"/>
      <x:c r="J9" s="39"/>
    </x:row>
    <x:row r="10" ht="15" hidden="0" customHeight="1">
      <x:c r="A10" s="39" t="str">
        <x:v>GST-ready export</x:v>
      </x:c>
      <x:c r="B10" s="39" t="str">
        <x:v>No</x:v>
      </x:c>
      <x:c r="C10" s="39" t="str">
        <x:v>Yes</x:v>
      </x:c>
      <x:c r="D10" s="39" t="str">
        <x:v>Direct time-saving monetizable workflow</x:v>
      </x:c>
      <x:c r="E10" s="39" t="str">
        <x:v>Exports or asks support for GST</x:v>
      </x:c>
      <x:c r="F10" s="39" t="str">
        <x:v>None</x:v>
      </x:c>
      <x:c r="G10" s="39"/>
      <x:c r="H10" s="39"/>
      <x:c r="I10" s="39"/>
      <x:c r="J10" s="39"/>
    </x:row>
    <x:row r="11" ht="15" hidden="0" customHeight="1">
      <x:c r="A11" s="39" t="str">
        <x:v>Multi-outlet dashboard</x:v>
      </x:c>
      <x:c r="B11" s="39" t="str">
        <x:v>No</x:v>
      </x:c>
      <x:c r="C11" s="39" t="str">
        <x:v>Yes</x:v>
      </x:c>
      <x:c r="D11" s="39" t="str">
        <x:v>More complex merchants have higher willingness to pay</x:v>
      </x:c>
      <x:c r="E11" s="39" t="str">
        <x:v>Adds second outlet</x:v>
      </x:c>
      <x:c r="F11" s="39" t="str">
        <x:v>None</x:v>
      </x:c>
      <x:c r="G11" s="39"/>
      <x:c r="H11" s="39"/>
      <x:c r="I11" s="39"/>
      <x:c r="J11" s="39"/>
    </x:row>
    <x:row r="12" ht="15" hidden="0" customHeight="1">
      <x:c r="A12" s="39" t="str">
        <x:v>Staff logins / roles</x:v>
      </x:c>
      <x:c r="B12" s="39" t="str">
        <x:v>No</x:v>
      </x:c>
      <x:c r="C12" s="39" t="str">
        <x:v>Yes</x:v>
      </x:c>
      <x:c r="D12" s="39" t="str">
        <x:v>Paid value for growing shops</x:v>
      </x:c>
      <x:c r="E12" s="39" t="str">
        <x:v>Adds cashier/staff user</x:v>
      </x:c>
      <x:c r="F12" s="39" t="str">
        <x:v>None</x:v>
      </x:c>
      <x:c r="G12" s="39"/>
      <x:c r="H12" s="39"/>
      <x:c r="I12" s="39"/>
      <x:c r="J12" s="39"/>
    </x:row>
    <x:row r="13" ht="15" hidden="0" customHeight="1">
      <x:c r="A13" s="39" t="str">
        <x:v>Priority support</x:v>
      </x:c>
      <x:c r="B13" s="39" t="str">
        <x:v>No</x:v>
      </x:c>
      <x:c r="C13" s="39" t="str">
        <x:v>Yes</x:v>
      </x:c>
      <x:c r="D13" s="39" t="str">
        <x:v>Paid service cost can be funded by subscription</x:v>
      </x:c>
      <x:c r="E13" s="39" t="str">
        <x:v>Repeated support tickets</x:v>
      </x:c>
      <x:c r="F13" s="39" t="str">
        <x:v>None</x:v>
      </x:c>
      <x:c r="G13" s="39"/>
      <x:c r="H13" s="39"/>
      <x:c r="I13" s="39"/>
      <x:c r="J13" s="39"/>
    </x:row>
    <x:row r="14" ht="15" hidden="0" customHeight="1">
      <x:c r="A14" s="39" t="str">
        <x:v>WhatsApp weekly report</x:v>
      </x:c>
      <x:c r="B14" s="39" t="str">
        <x:v>No</x:v>
      </x:c>
      <x:c r="C14" s="39" t="str">
        <x:v>Yes</x:v>
      </x:c>
      <x:c r="D14" s="39" t="str">
        <x:v>Shareable artifact creates paid habit + referral loop</x:v>
      </x:c>
      <x:c r="E14" s="39" t="str">
        <x:v>Sends summary to owner/family</x:v>
      </x:c>
      <x:c r="F14" s="39" t="str">
        <x:v>None</x:v>
      </x:c>
      <x:c r="G14" s="39"/>
      <x:c r="H14" s="39"/>
      <x:c r="I14" s="39"/>
      <x:c r="J14" s="39"/>
    </x:row>
    <x:row r="15" ht="15" hidden="0" customHeight="1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 ht="15" hidden="0" customHeight="1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 ht="15" hidden="0" customHeight="1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 ht="15" hidden="0" customHeight="1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 ht="15" hidden="0" customHeight="1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 ht="15" hidden="0" customHeight="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15" hidden="0" customHeight="1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 ht="15" hidden="0" customHeight="1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 ht="15" hidden="0" customHeight="1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 ht="15" hidden="0" customHeight="1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 ht="15" hidden="0" customHeight="1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 ht="15" hidden="0" customHeight="1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1c5c253b5804d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18" hidden="0" customHeight="1">
      <x:c r="A1" s="38" t="str">
        <x:v>Unit Economics - Base Case</x:v>
      </x:c>
      <x:c r="B1" s="39" t="str"/>
      <x:c r="C1" s="39" t="str"/>
      <x:c r="D1" s="39" t="str"/>
      <x:c r="E1" s="39" t="str"/>
      <x:c r="F1" s="39"/>
      <x:c r="G1" s="39"/>
      <x:c r="H1" s="39"/>
      <x:c r="I1" s="39"/>
      <x:c r="J1" s="39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1" t="str">
        <x:v>Input</x:v>
      </x:c>
      <x:c r="B3" s="41" t="str">
        <x:v>Value</x:v>
      </x:c>
      <x:c r="C3" s="41" t="str">
        <x:v>Unit</x:v>
      </x:c>
      <x:c r="D3" s="41" t="str">
        <x:v>Source / Logic</x:v>
      </x:c>
      <x:c r="E3" s="41" t="str">
        <x:v>Editable?</x:v>
      </x:c>
      <x:c r="F3" s="39"/>
      <x:c r="G3" s="39"/>
      <x:c r="H3" s="39"/>
      <x:c r="I3" s="39"/>
      <x:c r="J3" s="39"/>
    </x:row>
    <x:row r="4" ht="15" hidden="0" customHeight="1">
      <x:c r="A4" s="39" t="str">
        <x:v>Monthly Pro price</x:v>
      </x:c>
      <x:c r="B4" s="42" t="n">
        <x:v>199</x:v>
      </x:c>
      <x:c r="C4" s="39" t="str">
        <x:v>Rs / merchant / month</x:v>
      </x:c>
      <x:c r="D4" s="39" t="str">
        <x:v>Anchored to assignment Vyapar benchmark; Khatabook stays free baseline</x:v>
      </x:c>
      <x:c r="E4" s="39" t="str">
        <x:v>Yes</x:v>
      </x:c>
      <x:c r="F4" s="39"/>
      <x:c r="G4" s="39"/>
      <x:c r="H4" s="39"/>
      <x:c r="I4" s="39"/>
      <x:c r="J4" s="39"/>
    </x:row>
    <x:row r="5" ht="15" hidden="0" customHeight="1">
      <x:c r="A5" s="39" t="str">
        <x:v>Annual plan price</x:v>
      </x:c>
      <x:c r="B5" s="42" t="n">
        <x:v>1999</x:v>
      </x:c>
      <x:c r="C5" s="39" t="str">
        <x:v>Rs / merchant / year</x:v>
      </x:c>
      <x:c r="D5" s="39" t="str">
        <x:v>Two months free to reduce churn and improve cash collection</x:v>
      </x:c>
      <x:c r="E5" s="39" t="str">
        <x:v>Yes</x:v>
      </x:c>
      <x:c r="F5" s="39"/>
      <x:c r="G5" s="39"/>
      <x:c r="H5" s="39"/>
      <x:c r="I5" s="39"/>
      <x:c r="J5" s="39"/>
    </x:row>
    <x:row r="6" ht="15" hidden="0" customHeight="1">
      <x:c r="A6" s="39" t="str">
        <x:v>Gross margin</x:v>
      </x:c>
      <x:c r="B6" s="52" t="n">
        <x:v>0.75</x:v>
      </x:c>
      <x:c r="C6" s="39" t="str">
        <x:v>%</x:v>
      </x:c>
      <x:c r="D6" s="39" t="str">
        <x:v>Subscription software margin after support, cloud and payment ops</x:v>
      </x:c>
      <x:c r="E6" s="39" t="str">
        <x:v>Yes</x:v>
      </x:c>
      <x:c r="F6" s="39"/>
      <x:c r="G6" s="39"/>
      <x:c r="H6" s="39"/>
      <x:c r="I6" s="39"/>
      <x:c r="J6" s="39"/>
    </x:row>
    <x:row r="7" ht="15" hidden="0" customHeight="1">
      <x:c r="A7" s="39" t="str">
        <x:v>Monthly churn</x:v>
      </x:c>
      <x:c r="B7" s="52" t="n">
        <x:v>0.04</x:v>
      </x:c>
      <x:c r="C7" s="39" t="str">
        <x:v>%</x:v>
      </x:c>
      <x:c r="D7" s="39" t="str">
        <x:v>Initial conservative assumption for paid SMB software</x:v>
      </x:c>
      <x:c r="E7" s="39" t="str">
        <x:v>Yes</x:v>
      </x:c>
      <x:c r="F7" s="39"/>
      <x:c r="G7" s="39"/>
      <x:c r="H7" s="39"/>
      <x:c r="I7" s="39"/>
      <x:c r="J7" s="39"/>
    </x:row>
    <x:row r="8" ht="15" hidden="0" customHeight="1">
      <x:c r="A8" s="39" t="str">
        <x:v>CAC</x:v>
      </x:c>
      <x:c r="B8" s="42" t="n">
        <x:v>650</x:v>
      </x:c>
      <x:c r="C8" s="39" t="str">
        <x:v>Rs / paid merchant</x:v>
      </x:c>
      <x:c r="D8" s="39" t="str">
        <x:v>In-app prompts + WhatsApp + referral credit + assisted onboarding</x:v>
      </x:c>
      <x:c r="E8" s="39" t="str">
        <x:v>Yes</x:v>
      </x:c>
      <x:c r="F8" s="39"/>
      <x:c r="G8" s="39"/>
      <x:c r="H8" s="39"/>
      <x:c r="I8" s="39"/>
      <x:c r="J8" s="39"/>
    </x:row>
    <x:row r="9" ht="15" hidden="0" customHeight="1">
      <x:c r="A9" s="39" t="str">
        <x:v>Active merchants</x:v>
      </x:c>
      <x:c r="B9" s="53" t="n">
        <x:v>80000</x:v>
      </x:c>
      <x:c r="C9" s="39" t="str">
        <x:v>merchants</x:v>
      </x:c>
      <x:c r="D9" s="39" t="str">
        <x:v>Continuity assumption from Week 8 launch sample</x:v>
      </x:c>
      <x:c r="E9" s="39" t="str">
        <x:v>Yes</x:v>
      </x:c>
      <x:c r="F9" s="39"/>
      <x:c r="G9" s="39"/>
      <x:c r="H9" s="39"/>
      <x:c r="I9" s="39"/>
      <x:c r="J9" s="39"/>
    </x:row>
    <x:row r="10" ht="15" hidden="0" customHeight="1">
      <x:c r="A10" s="39" t="str">
        <x:v>Paid conversion target</x:v>
      </x:c>
      <x:c r="B10" s="52" t="n">
        <x:v>0.08</x:v>
      </x:c>
      <x:c r="C10" s="39" t="str">
        <x:v>%</x:v>
      </x:c>
      <x:c r="D10" s="39" t="str">
        <x:v>Year-1 target; validate in controlled test</x:v>
      </x:c>
      <x:c r="E10" s="39" t="str">
        <x:v>Yes</x:v>
      </x:c>
      <x:c r="F10" s="39"/>
      <x:c r="G10" s="39"/>
      <x:c r="H10" s="39"/>
      <x:c r="I10" s="39"/>
      <x:c r="J10" s="39"/>
    </x:row>
    <x:row r="11" ht="15" hidden="0" customHeight="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 ht="15" hidden="0" customHeight="1">
      <x:c r="A13" s="41" t="str">
        <x:v>Calculated Metric</x:v>
      </x:c>
      <x:c r="B13" s="41" t="str">
        <x:v>Formula / Value</x:v>
      </x:c>
      <x:c r="C13" s="41" t="str">
        <x:v>Unit</x:v>
      </x:c>
      <x:c r="D13" s="41" t="str">
        <x:v>CFO Interpretation</x:v>
      </x:c>
      <x:c r="E13" s="39"/>
      <x:c r="F13" s="39"/>
      <x:c r="G13" s="39"/>
      <x:c r="H13" s="39"/>
      <x:c r="I13" s="39"/>
      <x:c r="J13" s="39"/>
    </x:row>
    <x:row r="14" ht="15" hidden="0" customHeight="1">
      <x:c r="A14" s="39" t="str">
        <x:v>Net contribution / month</x:v>
      </x:c>
      <x:c r="B14" s="54" t="n">
        <x:f>B4*B6</x:f>
        <x:v>149.25</x:v>
      </x:c>
      <x:c r="C14" s="39" t="str">
        <x:v>Rs</x:v>
      </x:c>
      <x:c r="D14" s="39" t="str">
        <x:v>Monthly price x gross margin</x:v>
      </x:c>
      <x:c r="E14" s="39"/>
      <x:c r="F14" s="39"/>
      <x:c r="G14" s="39"/>
      <x:c r="H14" s="39"/>
      <x:c r="I14" s="39"/>
      <x:c r="J14" s="39"/>
    </x:row>
    <x:row r="15" ht="15" hidden="0" customHeight="1">
      <x:c r="A15" s="39" t="str">
        <x:v>Expected lifetime</x:v>
      </x:c>
      <x:c r="B15" s="43" t="n">
        <x:f>1/B7</x:f>
        <x:v>25</x:v>
      </x:c>
      <x:c r="C15" s="39" t="str">
        <x:v>months</x:v>
      </x:c>
      <x:c r="D15" s="39" t="str">
        <x:v>1 / monthly churn</x:v>
      </x:c>
      <x:c r="E15" s="39"/>
      <x:c r="F15" s="39"/>
      <x:c r="G15" s="39"/>
      <x:c r="H15" s="39"/>
      <x:c r="I15" s="39"/>
      <x:c r="J15" s="39"/>
    </x:row>
    <x:row r="16" ht="15" hidden="0" customHeight="1">
      <x:c r="A16" s="39" t="str">
        <x:v>Paid merchants at target</x:v>
      </x:c>
      <x:c r="B16" s="53" t="n">
        <x:f>B9*B10</x:f>
        <x:v>6400</x:v>
      </x:c>
      <x:c r="C16" s="39" t="str">
        <x:v>merchants</x:v>
      </x:c>
      <x:c r="D16" s="39" t="str">
        <x:v>Active merchants x paid conversion</x:v>
      </x:c>
      <x:c r="E16" s="39"/>
      <x:c r="F16" s="39"/>
      <x:c r="G16" s="39"/>
      <x:c r="H16" s="39"/>
      <x:c r="I16" s="39"/>
      <x:c r="J16" s="39"/>
    </x:row>
    <x:row r="17" ht="15" hidden="0" customHeight="1">
      <x:c r="A17" s="39" t="str">
        <x:v>Monthly recurring revenue</x:v>
      </x:c>
      <x:c r="B17" s="42" t="n">
        <x:f>B16*B4</x:f>
        <x:v>1273600</x:v>
      </x:c>
      <x:c r="C17" s="39" t="str">
        <x:v>Rs / month</x:v>
      </x:c>
      <x:c r="D17" s="39" t="str">
        <x:v>Paid merchants x monthly price</x:v>
      </x:c>
      <x:c r="E17" s="39"/>
      <x:c r="F17" s="39"/>
      <x:c r="G17" s="39"/>
      <x:c r="H17" s="39"/>
      <x:c r="I17" s="39"/>
      <x:c r="J17" s="39"/>
    </x:row>
    <x:row r="18" ht="15" hidden="0" customHeight="1">
      <x:c r="A18" s="39" t="str">
        <x:v>LTV</x:v>
      </x:c>
      <x:c r="B18" s="42" t="n">
        <x:f>B14*B15</x:f>
        <x:v>3731.25</x:v>
      </x:c>
      <x:c r="C18" s="39" t="str">
        <x:v>Rs</x:v>
      </x:c>
      <x:c r="D18" s="39" t="str">
        <x:v>Net contribution x lifetime</x:v>
      </x:c>
      <x:c r="E18" s="39"/>
      <x:c r="F18" s="39"/>
      <x:c r="G18" s="39"/>
      <x:c r="H18" s="39"/>
      <x:c r="I18" s="39"/>
      <x:c r="J18" s="39"/>
    </x:row>
    <x:row r="19" ht="15" hidden="0" customHeight="1">
      <x:c r="A19" s="39" t="str">
        <x:v>CAC payback</x:v>
      </x:c>
      <x:c r="B19" s="43" t="n">
        <x:f>B8/B14</x:f>
        <x:v>4.355108877721943</x:v>
      </x:c>
      <x:c r="C19" s="39" t="str">
        <x:v>months</x:v>
      </x:c>
      <x:c r="D19" s="39" t="str">
        <x:v>CAC / monthly contribution</x:v>
      </x:c>
      <x:c r="E19" s="39"/>
      <x:c r="F19" s="39"/>
      <x:c r="G19" s="39"/>
      <x:c r="H19" s="39"/>
      <x:c r="I19" s="39"/>
      <x:c r="J19" s="39"/>
    </x:row>
    <x:row r="20" ht="15" hidden="0" customHeight="1">
      <x:c r="A20" s="39" t="str">
        <x:v>LTV:CAC</x:v>
      </x:c>
      <x:c r="B20" s="44" t="n">
        <x:f>B18/B8</x:f>
        <x:v>5.740384615384615</x:v>
      </x:c>
      <x:c r="C20" s="39" t="str">
        <x:v>x</x:v>
      </x:c>
      <x:c r="D20" s="39" t="str">
        <x:v>Healthy SaaS benchmark is roughly 3x+</x:v>
      </x:c>
      <x:c r="E20" s="39"/>
      <x:c r="F20" s="39"/>
      <x:c r="G20" s="39"/>
      <x:c r="H20" s="39"/>
      <x:c r="I20" s="39"/>
      <x:c r="J20" s="39"/>
    </x:row>
    <x:row r="21" ht="15" hidden="0" customHeight="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15" hidden="0" customHeight="1">
      <x:c r="A23" s="41" t="str">
        <x:v>CAC Breakdown</x:v>
      </x:c>
      <x:c r="B23" s="41" t="str">
        <x:v>Cost</x:v>
      </x:c>
      <x:c r="C23" s="41" t="str">
        <x:v>Unit</x:v>
      </x:c>
      <x:c r="D23" s="41" t="str">
        <x:v>Notes</x:v>
      </x:c>
      <x:c r="E23" s="41" t="str">
        <x:v>Share of CAC</x:v>
      </x:c>
      <x:c r="F23" s="39"/>
      <x:c r="G23" s="39"/>
      <x:c r="H23" s="39"/>
      <x:c r="I23" s="39"/>
      <x:c r="J23" s="39"/>
    </x:row>
    <x:row r="24" ht="15" hidden="0" customHeight="1">
      <x:c r="A24" s="39" t="str">
        <x:v>In-app upgrade prompts</x:v>
      </x:c>
      <x:c r="B24" s="42" t="n">
        <x:v>50</x:v>
      </x:c>
      <x:c r="C24" s="39" t="str">
        <x:v>Rs</x:v>
      </x:c>
      <x:c r="D24" s="39" t="str">
        <x:v>Design + event-driven messaging cost allocated per paid conversion</x:v>
      </x:c>
      <x:c r="E24" s="52" t="n">
        <x:f>B24/$B$29</x:f>
        <x:v>0.07692307692307693</x:v>
      </x:c>
      <x:c r="F24" s="39"/>
      <x:c r="G24" s="39"/>
      <x:c r="H24" s="39"/>
      <x:c r="I24" s="39"/>
      <x:c r="J24" s="39"/>
    </x:row>
    <x:row r="25" ht="15" hidden="0" customHeight="1">
      <x:c r="A25" s="39" t="str">
        <x:v>WhatsApp/CRM nudges</x:v>
      </x:c>
      <x:c r="B25" s="42" t="n">
        <x:v>80</x:v>
      </x:c>
      <x:c r="C25" s="39" t="str">
        <x:v>Rs</x:v>
      </x:c>
      <x:c r="D25" s="39" t="str">
        <x:v>Targeted campaigns for qualified merchants</x:v>
      </x:c>
      <x:c r="E25" s="52" t="n">
        <x:f>B25/$B$29</x:f>
        <x:v>0.12307692307692308</x:v>
      </x:c>
      <x:c r="F25" s="39"/>
      <x:c r="G25" s="39"/>
      <x:c r="H25" s="39"/>
      <x:c r="I25" s="39"/>
      <x:c r="J25" s="39"/>
    </x:row>
    <x:row r="26" ht="15" hidden="0" customHeight="1">
      <x:c r="A26" s="39" t="str">
        <x:v>Referral credit</x:v>
      </x:c>
      <x:c r="B26" s="42" t="n">
        <x:v>200</x:v>
      </x:c>
      <x:c r="C26" s="39" t="str">
        <x:v>Rs</x:v>
      </x:c>
      <x:c r="D26" s="39" t="str">
        <x:v>Paid only when referred merchant converts to Pro</x:v>
      </x:c>
      <x:c r="E26" s="52" t="n">
        <x:f>B26/$B$29</x:f>
        <x:v>0.3076923076923077</x:v>
      </x:c>
      <x:c r="F26" s="39"/>
      <x:c r="G26" s="39"/>
      <x:c r="H26" s="39"/>
      <x:c r="I26" s="39"/>
      <x:c r="J26" s="39"/>
    </x:row>
    <x:row r="27" ht="15" hidden="0" customHeight="1">
      <x:c r="A27" s="39" t="str">
        <x:v>Assisted onboarding/support</x:v>
      </x:c>
      <x:c r="B27" s="42" t="n">
        <x:v>220</x:v>
      </x:c>
      <x:c r="C27" s="39" t="str">
        <x:v>Rs</x:v>
      </x:c>
      <x:c r="D27" s="39" t="str">
        <x:v>Phone/support help for first GST export or multi-user setup</x:v>
      </x:c>
      <x:c r="E27" s="52" t="n">
        <x:f>B27/$B$29</x:f>
        <x:v>0.3384615384615385</x:v>
      </x:c>
      <x:c r="F27" s="39"/>
      <x:c r="G27" s="39"/>
      <x:c r="H27" s="39"/>
      <x:c r="I27" s="39"/>
      <x:c r="J27" s="39"/>
    </x:row>
    <x:row r="28" ht="15" hidden="0" customHeight="1">
      <x:c r="A28" s="39" t="str">
        <x:v>Payment/ops overhead</x:v>
      </x:c>
      <x:c r="B28" s="42" t="n">
        <x:v>100</x:v>
      </x:c>
      <x:c r="C28" s="39" t="str">
        <x:v>Rs</x:v>
      </x:c>
      <x:c r="D28" s="39" t="str">
        <x:v>Activation and billing overhead</x:v>
      </x:c>
      <x:c r="E28" s="52" t="n">
        <x:f>B28/$B$29</x:f>
        <x:v>0.15384615384615385</x:v>
      </x:c>
      <x:c r="F28" s="39"/>
      <x:c r="G28" s="39"/>
      <x:c r="H28" s="39"/>
      <x:c r="I28" s="39"/>
      <x:c r="J28" s="39"/>
    </x:row>
    <x:row r="29" ht="15" hidden="0" customHeight="1">
      <x:c r="A29" s="39" t="str">
        <x:v>Total CAC</x:v>
      </x:c>
      <x:c r="B29" s="42" t="n">
        <x:f>SUM(B24:B28)</x:f>
        <x:v>650</x:v>
      </x:c>
      <x:c r="C29" s="39" t="str">
        <x:v>Rs</x:v>
      </x:c>
      <x:c r="D29" s="39" t="str">
        <x:v>Sum of above</x:v>
      </x:c>
      <x:c r="E29" s="52" t="n">
        <x:f>SUM(E24:E28)</x:f>
        <x:v>1</x:v>
      </x:c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8" hidden="0" customHeight="1">
      <x:c r="A1" s="38" t="str">
        <x:v>Scenario Analysis - Pricing, CAC, Churn, and Conversion</x:v>
      </x:c>
      <x:c r="B1" s="39" t="str"/>
      <x:c r="C1" s="39" t="str"/>
      <x:c r="D1" s="39" t="str"/>
      <x:c r="E1" s="39" t="str"/>
      <x:c r="F1" s="39" t="str"/>
      <x:c r="G1" s="39" t="str"/>
      <x:c r="H1" s="39" t="str"/>
      <x:c r="I1" s="39" t="str"/>
      <x:c r="J1" s="39" t="str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1" t="str">
        <x:v>Scenario</x:v>
      </x:c>
      <x:c r="B3" s="41" t="str">
        <x:v>Price</x:v>
      </x:c>
      <x:c r="C3" s="41" t="str">
        <x:v>Gross Margin</x:v>
      </x:c>
      <x:c r="D3" s="41" t="str">
        <x:v>Monthly Churn</x:v>
      </x:c>
      <x:c r="E3" s="41" t="str">
        <x:v>CAC</x:v>
      </x:c>
      <x:c r="F3" s="41" t="str">
        <x:v>Paid Conversion</x:v>
      </x:c>
      <x:c r="G3" s="41" t="str">
        <x:v>Paid Merchants</x:v>
      </x:c>
      <x:c r="H3" s="41" t="str">
        <x:v>MRR</x:v>
      </x:c>
      <x:c r="I3" s="41" t="str">
        <x:v>LTV</x:v>
      </x:c>
      <x:c r="J3" s="41" t="str">
        <x:v>LTV:CAC</x:v>
      </x:c>
    </x:row>
    <x:row r="4" ht="15" hidden="0" customHeight="1">
      <x:c r="A4" s="39" t="str">
        <x:v>Pessimistic</x:v>
      </x:c>
      <x:c r="B4" s="42" t="n">
        <x:v>199</x:v>
      </x:c>
      <x:c r="C4" s="52" t="n">
        <x:v>0.7</x:v>
      </x:c>
      <x:c r="D4" s="52" t="n">
        <x:v>0.06</x:v>
      </x:c>
      <x:c r="E4" s="42" t="n">
        <x:v>900</x:v>
      </x:c>
      <x:c r="F4" s="52" t="n">
        <x:v>0.05</x:v>
      </x:c>
      <x:c r="G4" s="53" t="n">
        <x:f>'Unit Economics'!$B$9*F4</x:f>
        <x:v>4000</x:v>
      </x:c>
      <x:c r="H4" s="42" t="n">
        <x:f>G4*B4</x:f>
        <x:v>796000</x:v>
      </x:c>
      <x:c r="I4" s="42" t="n">
        <x:f>(B4*C4)/D4</x:f>
        <x:v>2321.6666666666665</x:v>
      </x:c>
      <x:c r="J4" s="44" t="n">
        <x:f>I4/E4</x:f>
        <x:v>2.5796296296296295</x:v>
      </x:c>
    </x:row>
    <x:row r="5" ht="15" hidden="0" customHeight="1">
      <x:c r="A5" s="39" t="str">
        <x:v>Base</x:v>
      </x:c>
      <x:c r="B5" s="42" t="n">
        <x:v>199</x:v>
      </x:c>
      <x:c r="C5" s="52" t="n">
        <x:v>0.75</x:v>
      </x:c>
      <x:c r="D5" s="52" t="n">
        <x:v>0.04</x:v>
      </x:c>
      <x:c r="E5" s="42" t="n">
        <x:v>650</x:v>
      </x:c>
      <x:c r="F5" s="52" t="n">
        <x:v>0.08</x:v>
      </x:c>
      <x:c r="G5" s="53" t="n">
        <x:f>'Unit Economics'!$B$9*F5</x:f>
        <x:v>6400</x:v>
      </x:c>
      <x:c r="H5" s="42" t="n">
        <x:f>G5*B5</x:f>
        <x:v>1273600</x:v>
      </x:c>
      <x:c r="I5" s="42" t="n">
        <x:f>(B5*C5)/D5</x:f>
        <x:v>3731.25</x:v>
      </x:c>
      <x:c r="J5" s="44" t="n">
        <x:f>I5/E5</x:f>
        <x:v>5.740384615384615</x:v>
      </x:c>
    </x:row>
    <x:row r="6" ht="15" hidden="0" customHeight="1">
      <x:c r="A6" s="39" t="str">
        <x:v>Optimistic</x:v>
      </x:c>
      <x:c r="B6" s="42" t="n">
        <x:v>249</x:v>
      </x:c>
      <x:c r="C6" s="52" t="n">
        <x:v>0.78</x:v>
      </x:c>
      <x:c r="D6" s="52" t="n">
        <x:v>0.03</x:v>
      </x:c>
      <x:c r="E6" s="42" t="n">
        <x:v>500</x:v>
      </x:c>
      <x:c r="F6" s="52" t="n">
        <x:v>0.12</x:v>
      </x:c>
      <x:c r="G6" s="53" t="n">
        <x:f>'Unit Economics'!$B$9*F6</x:f>
        <x:v>9600</x:v>
      </x:c>
      <x:c r="H6" s="42" t="n">
        <x:f>G6*B6</x:f>
        <x:v>2390400</x:v>
      </x:c>
      <x:c r="I6" s="42" t="n">
        <x:f>(B6*C6)/D6</x:f>
        <x:v>6474</x:v>
      </x:c>
      <x:c r="J6" s="44" t="n">
        <x:f>I6/E6</x:f>
        <x:v>12.948</x:v>
      </x:c>
    </x:row>
    <x:row r="7" ht="15" hidden="0" customHeight="1">
      <x:c r="A7" s="39"/>
      <x:c r="B7" s="39"/>
      <x:c r="C7" s="39"/>
      <x:c r="D7" s="39"/>
      <x:c r="E7" s="39"/>
      <x:c r="F7" s="39"/>
      <x:c r="G7" s="39"/>
      <x:c r="H7" s="39"/>
      <x:c r="I7" s="39"/>
      <x:c r="J7" s="39"/>
    </x:row>
    <x:row r="8" ht="15" hidden="0" customHeight="1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 ht="15" hidden="0" customHeight="1">
      <x:c r="A9" s="41" t="str">
        <x:v>Decision Rule</x:v>
      </x:c>
      <x:c r="B9" s="41" t="str">
        <x:v>Threshold</x:v>
      </x:c>
      <x:c r="C9" s="41" t="str">
        <x:v>Action</x:v>
      </x:c>
      <x:c r="D9" s="39"/>
      <x:c r="E9" s="39"/>
      <x:c r="F9" s="39"/>
      <x:c r="G9" s="39"/>
      <x:c r="H9" s="39"/>
      <x:c r="I9" s="39"/>
      <x:c r="J9" s="39"/>
    </x:row>
    <x:row r="10" ht="15" hidden="0" customHeight="1">
      <x:c r="A10" s="39" t="str">
        <x:v>LTV:CAC</x:v>
      </x:c>
      <x:c r="B10" s="39" t="str">
        <x:v>&gt;= 3.0x</x:v>
      </x:c>
      <x:c r="C10" s="39" t="str">
        <x:v>Scale acquisition</x:v>
      </x:c>
      <x:c r="D10" s="39"/>
      <x:c r="E10" s="39"/>
      <x:c r="F10" s="39"/>
      <x:c r="G10" s="39"/>
      <x:c r="H10" s="39"/>
      <x:c r="I10" s="39"/>
      <x:c r="J10" s="39"/>
    </x:row>
    <x:row r="11" ht="15" hidden="0" customHeight="1">
      <x:c r="A11" s="39" t="str">
        <x:v>CAC payback</x:v>
      </x:c>
      <x:c r="B11" s="39" t="str">
        <x:v>&lt; 12 months</x:v>
      </x:c>
      <x:c r="C11" s="39" t="str">
        <x:v>Acceptable for SMB SaaS</x:v>
      </x:c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s="39" t="str">
        <x:v>Paid conversion</x:v>
      </x:c>
      <x:c r="B12" s="39" t="str">
        <x:v>&gt;= 5%</x:v>
      </x:c>
      <x:c r="C12" s="39" t="str">
        <x:v>Continue; below this, revisit packaging</x:v>
      </x:c>
      <x:c r="D12" s="39"/>
      <x:c r="E12" s="39"/>
      <x:c r="F12" s="39"/>
      <x:c r="G12" s="39"/>
      <x:c r="H12" s="39"/>
      <x:c r="I12" s="39"/>
      <x:c r="J12" s="39"/>
    </x:row>
    <x:row r="13" ht="15" hidden="0" customHeight="1">
      <x:c r="A13" s="39" t="str">
        <x:v>Monthly churn</x:v>
      </x:c>
      <x:c r="B13" s="39" t="str">
        <x:v>&lt;= 6%</x:v>
      </x:c>
      <x:c r="C13" s="39" t="str">
        <x:v>Improve onboarding if worse</x:v>
      </x:c>
      <x:c r="D13" s="39"/>
      <x:c r="E13" s="39"/>
      <x:c r="F13" s="39"/>
      <x:c r="G13" s="39"/>
      <x:c r="H13" s="39"/>
      <x:c r="I13" s="39"/>
      <x:c r="J13" s="39"/>
    </x:row>
    <x:row r="14" ht="15" hidden="0" customHeight="1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 ht="15" hidden="0" customHeight="1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 ht="15" hidden="0" customHeight="1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 ht="15" hidden="0" customHeight="1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 ht="15" hidden="0" customHeight="1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 ht="15" hidden="0" customHeight="1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 ht="15" hidden="0" customHeight="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15" hidden="0" customHeight="1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 ht="15" hidden="0" customHeight="1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 ht="15" hidden="0" customHeight="1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 ht="15" hidden="0" customHeight="1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 ht="15" hidden="0" customHeight="1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 ht="15" hidden="0" customHeight="1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J1"/>
  </x:mergeCells>
  <x:conditionalFormatting sqref="J4:J6">
    <x:cfRule type="cellIs" dxfId="0" priority="1" operator="lessThan">
      <x:formula>3</x:formula>
    </x:cfRule>
    <x:cfRule type="cellIs" dxfId="1" priority="2" operator="greaterThanOrEqual">
      <x:formula>3</x:formula>
    </x:cfRule>
  </x:conditionalFormatting>
  <x:pageMargins left="0.7" right="0.7" top="0.75" bottom="0.75" header="0.3" footer="0.3"/>
  <x:drawing xmlns:r="http://schemas.openxmlformats.org/officeDocument/2006/relationships" r:id="Rf1d9a390ab4b4350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8" hidden="0" customHeight="1">
      <x:c r="A1" s="38" t="str">
        <x:v>PixelPay Pro Growth Loop</x:v>
      </x:c>
      <x:c r="B1" s="39" t="str"/>
      <x:c r="C1" s="39" t="str"/>
      <x:c r="D1" s="39" t="str"/>
      <x:c r="E1" s="39" t="str"/>
      <x:c r="F1" s="39" t="str"/>
      <x:c r="G1" s="39"/>
      <x:c r="H1" s="39"/>
      <x:c r="I1" s="39"/>
      <x:c r="J1" s="39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1" t="str">
        <x:v>Step</x:v>
      </x:c>
      <x:c r="B3" s="41" t="str">
        <x:v>Loop Event</x:v>
      </x:c>
      <x:c r="C3" s="41" t="str">
        <x:v>User Value</x:v>
      </x:c>
      <x:c r="D3" s="41" t="str">
        <x:v>Business Value</x:v>
      </x:c>
      <x:c r="E3" s="41" t="str">
        <x:v>Metric</x:v>
      </x:c>
      <x:c r="F3" s="41" t="str">
        <x:v>Optimization Lever</x:v>
      </x:c>
      <x:c r="G3" s="39"/>
      <x:c r="H3" s="39"/>
      <x:c r="I3" s="39"/>
      <x:c r="J3" s="39"/>
    </x:row>
    <x:row r="4" ht="15" hidden="0" customHeight="1">
      <x:c r="A4" s="39" t="n">
        <x:v>1</x:v>
      </x:c>
      <x:c r="B4" s="39" t="str">
        <x:v>Merchant signs up free</x:v>
      </x:c>
      <x:c r="C4" s="39" t="str">
        <x:v>No-risk start</x:v>
      </x:c>
      <x:c r="D4" s="39" t="str">
        <x:v>Low CAC acquisition</x:v>
      </x:c>
      <x:c r="E4" s="39" t="str">
        <x:v>Signup -&gt; active rate</x:v>
      </x:c>
      <x:c r="F4" s="39" t="str">
        <x:v>Simple onboarding + local language</x:v>
      </x:c>
      <x:c r="G4" s="39"/>
      <x:c r="H4" s="39"/>
      <x:c r="I4" s="39"/>
      <x:c r="J4" s="39"/>
    </x:row>
    <x:row r="5" ht="15" hidden="0" customHeight="1">
      <x:c r="A5" s="39" t="n">
        <x:v>2</x:v>
      </x:c>
      <x:c r="B5" s="39" t="str">
        <x:v>Merchant uses payments + day-end summary</x:v>
      </x:c>
      <x:c r="C5" s="39" t="str">
        <x:v>Daily business clarity</x:v>
      </x:c>
      <x:c r="D5" s="39" t="str">
        <x:v>Habit formation</x:v>
      </x:c>
      <x:c r="E5" s="39" t="str">
        <x:v>D7 retention</x:v>
      </x:c>
      <x:c r="F5" s="39" t="str">
        <x:v>8 PM push + fast summary</x:v>
      </x:c>
      <x:c r="G5" s="39"/>
      <x:c r="H5" s="39"/>
      <x:c r="I5" s="39"/>
      <x:c r="J5" s="39"/>
    </x:row>
    <x:row r="6" ht="15" hidden="0" customHeight="1">
      <x:c r="A6" s="39" t="n">
        <x:v>3</x:v>
      </x:c>
      <x:c r="B6" s="39" t="str">
        <x:v>Merchant hits aha moment</x:v>
      </x:c>
      <x:c r="C6" s="39" t="str">
        <x:v>Sees real value after 25+ daily txns</x:v>
      </x:c>
      <x:c r="D6" s="39" t="str">
        <x:v>Upgrade qualification</x:v>
      </x:c>
      <x:c r="E6" s="39" t="str">
        <x:v>Days to aha</x:v>
      </x:c>
      <x:c r="F6" s="39" t="str">
        <x:v>Nudge setup until first 25 txns</x:v>
      </x:c>
      <x:c r="G6" s="39"/>
      <x:c r="H6" s="39"/>
      <x:c r="I6" s="39"/>
      <x:c r="J6" s="39"/>
    </x:row>
    <x:row r="7" ht="15" hidden="0" customHeight="1">
      <x:c r="A7" s="39" t="n">
        <x:v>4</x:v>
      </x:c>
      <x:c r="B7" s="39" t="str">
        <x:v>Pro prompt appears only when pain is visible</x:v>
      </x:c>
      <x:c r="C7" s="39" t="str">
        <x:v>Relevant paid offer</x:v>
      </x:c>
      <x:c r="D7" s="39" t="str">
        <x:v>Higher paid conversion</x:v>
      </x:c>
      <x:c r="E7" s="39" t="str">
        <x:v>Free-to-Pro conversion</x:v>
      </x:c>
      <x:c r="F7" s="39" t="str">
        <x:v>Trigger after GST/multi-user/report intent</x:v>
      </x:c>
      <x:c r="G7" s="39"/>
      <x:c r="H7" s="39"/>
      <x:c r="I7" s="39"/>
      <x:c r="J7" s="39"/>
    </x:row>
    <x:row r="8" ht="15" hidden="0" customHeight="1">
      <x:c r="A8" s="39" t="n">
        <x:v>5</x:v>
      </x:c>
      <x:c r="B8" s="39" t="str">
        <x:v>Pro merchant exports/share reports</x:v>
      </x:c>
      <x:c r="C8" s="39" t="str">
        <x:v>Saves time and looks professional</x:v>
      </x:c>
      <x:c r="D8" s="39" t="str">
        <x:v>Retention and expansion</x:v>
      </x:c>
      <x:c r="E8" s="39" t="str">
        <x:v>M3 Pro retention</x:v>
      </x:c>
      <x:c r="F8" s="39" t="str">
        <x:v>Better reports + support</x:v>
      </x:c>
      <x:c r="G8" s="39"/>
      <x:c r="H8" s="39"/>
      <x:c r="I8" s="39"/>
      <x:c r="J8" s="39"/>
    </x:row>
    <x:row r="9" ht="15" hidden="0" customHeight="1">
      <x:c r="A9" s="39" t="n">
        <x:v>6</x:v>
      </x:c>
      <x:c r="B9" s="39" t="str">
        <x:v>Referral credit encourages peer signup</x:v>
      </x:c>
      <x:c r="C9" s="39" t="str">
        <x:v>Merchant gets discount</x:v>
      </x:c>
      <x:c r="D9" s="39" t="str">
        <x:v>New free users</x:v>
      </x:c>
      <x:c r="E9" s="39" t="str">
        <x:v>Referral conversion</x:v>
      </x:c>
      <x:c r="F9" s="39" t="str">
        <x:v>Rs 200 Pro credit after paid conversion</x:v>
      </x:c>
      <x:c r="G9" s="39"/>
      <x:c r="H9" s="39"/>
      <x:c r="I9" s="39"/>
      <x:c r="J9" s="39"/>
    </x:row>
    <x:row r="10" ht="15" hidden="0" customHeight="1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 ht="15" hidden="0" customHeight="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s="41" t="str">
        <x:v>Aha Moment Definition</x:v>
      </x:c>
      <x:c r="B12" s="39" t="str"/>
      <x:c r="C12" s="39" t="str"/>
      <x:c r="D12" s="39" t="str"/>
      <x:c r="E12" s="39" t="str"/>
      <x:c r="F12" s="39" t="str"/>
      <x:c r="G12" s="39"/>
      <x:c r="H12" s="39"/>
      <x:c r="I12" s="39"/>
      <x:c r="J12" s="39"/>
    </x:row>
    <x:row r="13" ht="15" hidden="0" customHeight="1">
      <x:c r="A13" s="39" t="str">
        <x:v>Aha moment</x:v>
      </x:c>
      <x:c r="B13" s="39" t="str">
        <x:v>Merchant views first day-end summary with 25+ transactions within 30 days of signup</x:v>
      </x:c>
      <x:c r="C13" s="39" t="str"/>
      <x:c r="D13" s="39" t="str"/>
      <x:c r="E13" s="39" t="str"/>
      <x:c r="F13" s="39" t="str"/>
      <x:c r="G13" s="39"/>
      <x:c r="H13" s="39"/>
      <x:c r="I13" s="39"/>
      <x:c r="J13" s="39"/>
    </x:row>
    <x:row r="14" ht="15" hidden="0" customHeight="1">
      <x:c r="A14" s="39" t="str">
        <x:v>Why it matters</x:v>
      </x:c>
      <x:c r="B14" s="39" t="str">
        <x:v>Below 25 transactions the summary feels empty; above 25 it feels like a true daily business mirror</x:v>
      </x:c>
      <x:c r="C14" s="39" t="str"/>
      <x:c r="D14" s="39" t="str"/>
      <x:c r="E14" s="39" t="str"/>
      <x:c r="F14" s="39" t="str"/>
      <x:c r="G14" s="39"/>
      <x:c r="H14" s="39"/>
      <x:c r="I14" s="39"/>
      <x:c r="J14" s="39"/>
    </x:row>
    <x:row r="15" ht="15" hidden="0" customHeight="1">
      <x:c r="A15" s="39" t="str">
        <x:v>Upgrade timing</x:v>
      </x:c>
      <x:c r="B15" s="39" t="str">
        <x:v>Do not force Pro at signup. Wait until the merchant shows reporting, GST, multi-user, or multi-outlet intent.</x:v>
      </x:c>
      <x:c r="C15" s="39" t="str"/>
      <x:c r="D15" s="39" t="str"/>
      <x:c r="E15" s="39" t="str"/>
      <x:c r="F15" s="39" t="str"/>
      <x:c r="G15" s="39"/>
      <x:c r="H15" s="39"/>
      <x:c r="I15" s="39"/>
      <x:c r="J15" s="39"/>
    </x:row>
    <x:row r="16" ht="15" hidden="0" customHeight="1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 ht="15" hidden="0" customHeight="1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 ht="15" hidden="0" customHeight="1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 ht="15" hidden="0" customHeight="1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 ht="15" hidden="0" customHeight="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15" hidden="0" customHeight="1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 ht="15" hidden="0" customHeight="1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 ht="15" hidden="0" customHeight="1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 ht="15" hidden="0" customHeight="1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 ht="15" hidden="0" customHeight="1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 ht="15" hidden="0" customHeight="1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F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18" hidden="0" customHeight="1">
      <x:c r="A1" s="38" t="str">
        <x:v>Sources and Assignment Anchors</x:v>
      </x:c>
      <x:c r="B1" s="39" t="str"/>
      <x:c r="C1" s="39" t="str"/>
      <x:c r="D1" s="39" t="str"/>
      <x:c r="E1" s="39"/>
      <x:c r="F1" s="39"/>
      <x:c r="G1" s="39"/>
      <x:c r="H1" s="39"/>
      <x:c r="I1" s="39"/>
      <x:c r="J1" s="39"/>
    </x:row>
    <x:row r="2" ht="15" hidden="0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15" hidden="0" customHeight="1">
      <x:c r="A3" s="41" t="str">
        <x:v>Source</x:v>
      </x:c>
      <x:c r="B3" s="41" t="str">
        <x:v>Use</x:v>
      </x:c>
      <x:c r="C3" s="41" t="str">
        <x:v>URL / Note</x:v>
      </x:c>
      <x:c r="D3" s="41" t="str">
        <x:v>Date checked</x:v>
      </x:c>
      <x:c r="E3" s="39"/>
      <x:c r="F3" s="39"/>
      <x:c r="G3" s="39"/>
      <x:c r="H3" s="39"/>
      <x:c r="I3" s="39"/>
      <x:c r="J3" s="39"/>
    </x:row>
    <x:row r="4" ht="15" hidden="0" customHeight="1">
      <x:c r="A4" s="39" t="str">
        <x:v>Project 9 clue sheet</x:v>
      </x:c>
      <x:c r="B4" s="39" t="str">
        <x:v>Required deliverable structure: packaging, price, LTV/CAC, proposal</x:v>
      </x:c>
      <x:c r="C4" s="39" t="str">
        <x:v>Uploaded file: Project-9_Clue-Sheet.pdf</x:v>
      </x:c>
      <x:c r="D4" s="39" t="str">
        <x:v>2026-06-24</x:v>
      </x:c>
      <x:c r="E4" s="39"/>
      <x:c r="F4" s="39"/>
      <x:c r="G4" s="39"/>
      <x:c r="H4" s="39"/>
      <x:c r="I4" s="39"/>
      <x:c r="J4" s="39"/>
    </x:row>
    <x:row r="5" ht="15" hidden="0" customHeight="1">
      <x:c r="A5" s="39" t="str">
        <x:v>Week 9 sample</x:v>
      </x:c>
      <x:c r="B5" s="39" t="str">
        <x:v>Growth loop, aha moment, pricing and unit economics format</x:v>
      </x:c>
      <x:c r="C5" s="39" t="str">
        <x:v>Uploaded file: Week-09-Growth-Audit-Sample.md</x:v>
      </x:c>
      <x:c r="D5" s="39" t="str">
        <x:v>2026-06-24</x:v>
      </x:c>
      <x:c r="E5" s="39"/>
      <x:c r="F5" s="39"/>
      <x:c r="G5" s="39"/>
      <x:c r="H5" s="39"/>
      <x:c r="I5" s="39"/>
      <x:c r="J5" s="39"/>
    </x:row>
    <x:row r="6" ht="15" hidden="0" customHeight="1">
      <x:c r="A6" s="39" t="str">
        <x:v>Khatabook official site</x:v>
      </x:c>
      <x:c r="B6" s="39" t="str">
        <x:v>Free baseline and Indian merchant app anchor</x:v>
      </x:c>
      <x:c r="C6" s="39" t="str">
        <x:v>https://khatabook.com/hi/</x:v>
      </x:c>
      <x:c r="D6" s="39" t="str">
        <x:v>2026-06-24</x:v>
      </x:c>
      <x:c r="E6" s="39"/>
      <x:c r="F6" s="39"/>
      <x:c r="G6" s="39"/>
      <x:c r="H6" s="39"/>
      <x:c r="I6" s="39"/>
      <x:c r="J6" s="39"/>
    </x:row>
    <x:row r="7" ht="15" hidden="0" customHeight="1">
      <x:c r="A7" s="39" t="str">
        <x:v>User-provided benchmark</x:v>
      </x:c>
      <x:c r="B7" s="39" t="str">
        <x:v>Vyapar pricing anchor</x:v>
      </x:c>
      <x:c r="C7" s="39" t="str">
        <x:v>Vyapar = Rs 199/month, per assignment prompt</x:v>
      </x:c>
      <x:c r="D7" s="39" t="str">
        <x:v>2026-06-24</x:v>
      </x:c>
      <x:c r="E7" s="39"/>
      <x:c r="F7" s="39"/>
      <x:c r="G7" s="39"/>
      <x:c r="H7" s="39"/>
      <x:c r="I7" s="39"/>
      <x:c r="J7" s="39"/>
    </x:row>
    <x:row r="8" ht="15" hidden="0" customHeight="1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 ht="15" hidden="0" customHeight="1">
      <x:c r="A9" s="39"/>
      <x:c r="B9" s="39"/>
      <x:c r="C9" s="39"/>
      <x:c r="D9" s="39"/>
      <x:c r="E9" s="39"/>
      <x:c r="F9" s="39"/>
      <x:c r="G9" s="39"/>
      <x:c r="H9" s="39"/>
      <x:c r="I9" s="39"/>
      <x:c r="J9" s="39"/>
    </x:row>
    <x:row r="10" ht="15" hidden="0" customHeight="1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 ht="15" hidden="0" customHeight="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 ht="15" hidden="0" customHeight="1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 ht="15" hidden="0" customHeight="1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 ht="15" hidden="0" customHeight="1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 ht="15" hidden="0" customHeight="1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 ht="15" hidden="0" customHeight="1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 ht="15" hidden="0" customHeight="1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 ht="15" hidden="0" customHeight="1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 ht="15" hidden="0" customHeight="1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 ht="15" hidden="0" customHeight="1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 ht="15" hidden="0" customHeight="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 ht="15" hidden="0" customHeight="1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 ht="15" hidden="0" customHeight="1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 ht="15" hidden="0" customHeight="1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 ht="15" hidden="0" customHeight="1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 ht="15" hidden="0" customHeight="1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 ht="15" hidden="0" customHeight="1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 ht="15" hidden="0" customHeight="1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 ht="15" hidden="0" customHeight="1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 ht="15" hidden="0" customHeight="1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 ht="15" hidden="0" customHeight="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 ht="15" hidden="0" customHeight="1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 ht="15" hidden="0" customHeight="1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 ht="15" hidden="0" customHeight="1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 ht="15" hidden="0" customHeight="1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 ht="15" hidden="0" customHeight="1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 ht="15" hidden="0" customHeight="1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 ht="15" hidden="0" customHeight="1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</x:sheetData>
  <x:mergeCells>
    <x:mergeCell ref="A1:D1"/>
  </x:mergeCells>
  <x:pageMargins left="0.7" right="0.7" top="0.75" bottom="0.75" header="0.3" footer="0.3"/>
</x:worksheet>
</file>